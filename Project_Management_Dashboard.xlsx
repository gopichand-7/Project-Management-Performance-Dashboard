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olla\Downloads\"/>
    </mc:Choice>
  </mc:AlternateContent>
  <xr:revisionPtr revIDLastSave="0" documentId="13_ncr:1_{4A6AC249-2B03-4505-8034-0F22E7D31436}" xr6:coauthVersionLast="47" xr6:coauthVersionMax="47" xr10:uidLastSave="{00000000-0000-0000-0000-000000000000}"/>
  <bookViews>
    <workbookView xWindow="-105" yWindow="0" windowWidth="12777" windowHeight="14243" xr2:uid="{52826027-E243-46B7-BC52-E4AD1436D92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S4" i="1" l="1"/>
  <c r="S5" i="1"/>
  <c r="S6" i="1"/>
  <c r="S7" i="1"/>
  <c r="R4" i="1"/>
  <c r="R5" i="1"/>
  <c r="R6" i="1"/>
  <c r="R7" i="1"/>
  <c r="Q4" i="1"/>
  <c r="Q5" i="1"/>
  <c r="Q6" i="1"/>
  <c r="Q7" i="1"/>
  <c r="P4" i="1"/>
  <c r="P5" i="1"/>
  <c r="P6" i="1"/>
  <c r="P7" i="1"/>
  <c r="S3" i="1"/>
  <c r="R3" i="1"/>
  <c r="Q3" i="1"/>
  <c r="P3" i="1"/>
</calcChain>
</file>

<file path=xl/sharedStrings.xml><?xml version="1.0" encoding="utf-8"?>
<sst xmlns="http://schemas.openxmlformats.org/spreadsheetml/2006/main" count="49" uniqueCount="40">
  <si>
    <t>Project_ID</t>
  </si>
  <si>
    <t>Project_Name</t>
  </si>
  <si>
    <t>Department</t>
  </si>
  <si>
    <t>Project_Manager</t>
  </si>
  <si>
    <t>Start_Date</t>
  </si>
  <si>
    <t>Planned_End_Date</t>
  </si>
  <si>
    <t>Actual_End_Date</t>
  </si>
  <si>
    <t>Budget</t>
  </si>
  <si>
    <t>Actual_Cost</t>
  </si>
  <si>
    <t>Team_Size</t>
  </si>
  <si>
    <t>Project_Status</t>
  </si>
  <si>
    <t>Risk_Level</t>
  </si>
  <si>
    <t>Tasks_Total</t>
  </si>
  <si>
    <t>Tasks_Completed</t>
  </si>
  <si>
    <t>Client_Satisfaction</t>
  </si>
  <si>
    <t>P001</t>
  </si>
  <si>
    <t>ERP Implementation</t>
  </si>
  <si>
    <t>IT</t>
  </si>
  <si>
    <t>Gopichand</t>
  </si>
  <si>
    <t>Completed</t>
  </si>
  <si>
    <t>Medium</t>
  </si>
  <si>
    <t>P002</t>
  </si>
  <si>
    <t>Supplier Optimization</t>
  </si>
  <si>
    <t>Supply Chain</t>
  </si>
  <si>
    <t>Low</t>
  </si>
  <si>
    <t>P003</t>
  </si>
  <si>
    <t>Product Launch</t>
  </si>
  <si>
    <t>Operations</t>
  </si>
  <si>
    <t>In Progress</t>
  </si>
  <si>
    <t>High</t>
  </si>
  <si>
    <t>P004</t>
  </si>
  <si>
    <t>Process Improvement</t>
  </si>
  <si>
    <t>Manufacturing</t>
  </si>
  <si>
    <t>P005</t>
  </si>
  <si>
    <t>Automation Upgrade</t>
  </si>
  <si>
    <t>Engineering</t>
  </si>
  <si>
    <t>Completion_Percentage</t>
  </si>
  <si>
    <t>Budget_Variance</t>
  </si>
  <si>
    <t>Cost_Status</t>
  </si>
  <si>
    <t>Schedule_Status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</si>
</sst>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vertical="center" wrapText="1"/>
    </xf>
    <xf numFmtId="14" fontId="0" fillId="0" borderId="0" xfId="0" applyNumberFormat="1"/>
    <xf numFmtId="14" fontId="0" fillId="0" borderId="0" xfId="0" applyNumberFormat="1" applyAlignment="1">
      <alignment vertical="center" wrapText="1"/>
    </xf>
    <xf numFmtId="0" fontId="0" fillId="0" borderId="0" xfId="0" applyNumberFormat="1"/>
    <xf numFmtId="0" fontId="2" fillId="2" borderId="1" xfId="0" applyFont="1" applyFill="1" applyBorder="1"/>
    <xf numFmtId="0" fontId="2" fillId="2" borderId="1" xfId="0" applyNumberFormat="1" applyFont="1" applyFill="1" applyBorder="1"/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36600A-ADFE-47B7-817E-3AD9D464F339}">
  <dimension ref="A1:S7"/>
  <sheetViews>
    <sheetView tabSelected="1" topLeftCell="O1" zoomScale="81" workbookViewId="0">
      <selection activeCell="R12" sqref="R12"/>
    </sheetView>
  </sheetViews>
  <sheetFormatPr defaultRowHeight="15.05" x14ac:dyDescent="0.3"/>
  <cols>
    <col min="1" max="1" width="14.21875" bestFit="1" customWidth="1"/>
    <col min="2" max="2" width="19.109375" bestFit="1" customWidth="1"/>
    <col min="3" max="3" width="16.33203125" bestFit="1" customWidth="1"/>
    <col min="4" max="4" width="22.5546875" bestFit="1" customWidth="1"/>
    <col min="5" max="5" width="14.6640625" style="4" bestFit="1" customWidth="1"/>
    <col min="6" max="6" width="25.109375" bestFit="1" customWidth="1"/>
    <col min="7" max="7" width="22.77734375" bestFit="1" customWidth="1"/>
    <col min="8" max="8" width="9.88671875" bestFit="1" customWidth="1"/>
    <col min="9" max="9" width="16.33203125" bestFit="1" customWidth="1"/>
    <col min="10" max="10" width="14.6640625" bestFit="1" customWidth="1"/>
    <col min="11" max="11" width="19.44140625" bestFit="1" customWidth="1"/>
    <col min="12" max="12" width="14.5546875" bestFit="1" customWidth="1"/>
    <col min="13" max="13" width="15.77734375" bestFit="1" customWidth="1"/>
    <col min="14" max="14" width="23.77734375" bestFit="1" customWidth="1"/>
    <col min="15" max="15" width="25" bestFit="1" customWidth="1"/>
    <col min="16" max="16" width="31.88671875" bestFit="1" customWidth="1"/>
    <col min="17" max="17" width="22.5546875" bestFit="1" customWidth="1"/>
    <col min="18" max="18" width="16.33203125" bestFit="1" customWidth="1"/>
    <col min="19" max="19" width="22.44140625" bestFit="1" customWidth="1"/>
  </cols>
  <sheetData>
    <row r="1" spans="1:19" s="5" customFormat="1" ht="24.25" x14ac:dyDescent="0.45">
      <c r="A1" s="5" t="s">
        <v>0</v>
      </c>
      <c r="B1" s="5" t="s">
        <v>1</v>
      </c>
      <c r="C1" s="5" t="s">
        <v>2</v>
      </c>
      <c r="D1" s="5" t="s">
        <v>3</v>
      </c>
      <c r="E1" s="6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36</v>
      </c>
      <c r="Q1" s="5" t="s">
        <v>37</v>
      </c>
      <c r="R1" s="5" t="s">
        <v>38</v>
      </c>
      <c r="S1" s="5" t="s">
        <v>39</v>
      </c>
    </row>
    <row r="3" spans="1:19" x14ac:dyDescent="0.3">
      <c r="A3" s="1" t="s">
        <v>15</v>
      </c>
      <c r="B3" s="1" t="s">
        <v>16</v>
      </c>
      <c r="C3" s="1" t="s">
        <v>17</v>
      </c>
      <c r="D3" s="1" t="s">
        <v>18</v>
      </c>
      <c r="E3" s="2">
        <v>45658</v>
      </c>
      <c r="F3" s="3">
        <v>45838</v>
      </c>
      <c r="G3" s="3">
        <v>45848</v>
      </c>
      <c r="H3" s="1">
        <v>500000</v>
      </c>
      <c r="I3" s="1">
        <v>540000</v>
      </c>
      <c r="J3" s="1">
        <v>12</v>
      </c>
      <c r="K3" s="1" t="s">
        <v>19</v>
      </c>
      <c r="L3" s="1" t="s">
        <v>20</v>
      </c>
      <c r="M3" s="1">
        <v>120</v>
      </c>
      <c r="N3" s="1">
        <v>120</v>
      </c>
      <c r="O3" s="1">
        <v>8</v>
      </c>
      <c r="P3" s="7">
        <f>N3/M3</f>
        <v>1</v>
      </c>
      <c r="Q3">
        <f>H3-I3</f>
        <v>-40000</v>
      </c>
      <c r="R3" t="str">
        <f>IF(I3&lt;=H3,"Within Budget","Over Budget")</f>
        <v>Over Budget</v>
      </c>
      <c r="S3" t="str">
        <f>IF(G3&lt;=F3,"On Time","Delayed")</f>
        <v>Delayed</v>
      </c>
    </row>
    <row r="4" spans="1:19" ht="30.15" x14ac:dyDescent="0.3">
      <c r="A4" s="1" t="s">
        <v>21</v>
      </c>
      <c r="B4" s="1" t="s">
        <v>22</v>
      </c>
      <c r="C4" s="1" t="s">
        <v>23</v>
      </c>
      <c r="D4" s="1" t="s">
        <v>18</v>
      </c>
      <c r="E4" s="2">
        <v>45703</v>
      </c>
      <c r="F4" s="3">
        <v>45899</v>
      </c>
      <c r="G4" s="3">
        <v>45894</v>
      </c>
      <c r="H4" s="1">
        <v>300000</v>
      </c>
      <c r="I4" s="1">
        <v>280000</v>
      </c>
      <c r="J4" s="1">
        <v>8</v>
      </c>
      <c r="K4" s="1" t="s">
        <v>19</v>
      </c>
      <c r="L4" s="1" t="s">
        <v>24</v>
      </c>
      <c r="M4" s="1">
        <v>90</v>
      </c>
      <c r="N4" s="1">
        <v>90</v>
      </c>
      <c r="O4" s="1">
        <v>9</v>
      </c>
      <c r="P4" s="7">
        <f t="shared" ref="P4:P7" si="0">N4/M4</f>
        <v>1</v>
      </c>
      <c r="Q4">
        <f t="shared" ref="Q4:Q7" si="1">H4-I4</f>
        <v>20000</v>
      </c>
      <c r="R4" t="str">
        <f t="shared" ref="R4:R7" si="2">IF(I4&lt;=H4,"Within Budget","Over Budget")</f>
        <v>Within Budget</v>
      </c>
      <c r="S4" t="str">
        <f t="shared" ref="S4:S7" si="3">IF(G4&lt;=F4,"On Time","Delayed")</f>
        <v>On Time</v>
      </c>
    </row>
    <row r="5" spans="1:19" x14ac:dyDescent="0.3">
      <c r="A5" s="1" t="s">
        <v>25</v>
      </c>
      <c r="B5" s="1" t="s">
        <v>26</v>
      </c>
      <c r="C5" s="1" t="s">
        <v>27</v>
      </c>
      <c r="D5" s="1" t="s">
        <v>18</v>
      </c>
      <c r="E5" s="2">
        <v>45717</v>
      </c>
      <c r="F5" s="3">
        <v>46022</v>
      </c>
      <c r="G5" s="1"/>
      <c r="H5" s="1">
        <v>700000</v>
      </c>
      <c r="I5" s="1">
        <v>450000</v>
      </c>
      <c r="J5" s="1">
        <v>15</v>
      </c>
      <c r="K5" s="1" t="s">
        <v>28</v>
      </c>
      <c r="L5" s="1" t="s">
        <v>29</v>
      </c>
      <c r="M5" s="1">
        <v>200</v>
      </c>
      <c r="N5" s="1">
        <v>130</v>
      </c>
      <c r="O5" s="1">
        <v>7</v>
      </c>
      <c r="P5" s="7">
        <f t="shared" si="0"/>
        <v>0.65</v>
      </c>
      <c r="Q5">
        <f t="shared" si="1"/>
        <v>250000</v>
      </c>
      <c r="R5" t="str">
        <f t="shared" si="2"/>
        <v>Within Budget</v>
      </c>
      <c r="S5" t="str">
        <f t="shared" si="3"/>
        <v>On Time</v>
      </c>
    </row>
    <row r="6" spans="1:19" ht="30.15" x14ac:dyDescent="0.3">
      <c r="A6" s="1" t="s">
        <v>30</v>
      </c>
      <c r="B6" s="1" t="s">
        <v>31</v>
      </c>
      <c r="C6" s="1" t="s">
        <v>32</v>
      </c>
      <c r="D6" s="1" t="s">
        <v>18</v>
      </c>
      <c r="E6" s="2">
        <v>45757</v>
      </c>
      <c r="F6" s="3">
        <v>45930</v>
      </c>
      <c r="G6" s="3">
        <v>45935</v>
      </c>
      <c r="H6" s="1">
        <v>250000</v>
      </c>
      <c r="I6" s="1">
        <v>260000</v>
      </c>
      <c r="J6" s="1">
        <v>6</v>
      </c>
      <c r="K6" s="1" t="s">
        <v>19</v>
      </c>
      <c r="L6" s="1" t="s">
        <v>20</v>
      </c>
      <c r="M6" s="1">
        <v>75</v>
      </c>
      <c r="N6" s="1">
        <v>75</v>
      </c>
      <c r="O6" s="1">
        <v>8</v>
      </c>
      <c r="P6" s="7">
        <f t="shared" si="0"/>
        <v>1</v>
      </c>
      <c r="Q6">
        <f t="shared" si="1"/>
        <v>-10000</v>
      </c>
      <c r="R6" t="str">
        <f t="shared" si="2"/>
        <v>Over Budget</v>
      </c>
      <c r="S6" t="str">
        <f t="shared" si="3"/>
        <v>Delayed</v>
      </c>
    </row>
    <row r="7" spans="1:19" ht="30.15" x14ac:dyDescent="0.3">
      <c r="A7" s="1" t="s">
        <v>33</v>
      </c>
      <c r="B7" s="1" t="s">
        <v>34</v>
      </c>
      <c r="C7" s="1" t="s">
        <v>35</v>
      </c>
      <c r="D7" s="1" t="s">
        <v>18</v>
      </c>
      <c r="E7" s="2">
        <v>45778</v>
      </c>
      <c r="F7" s="3">
        <v>45991</v>
      </c>
      <c r="G7" s="1"/>
      <c r="H7" s="1">
        <v>800000</v>
      </c>
      <c r="I7" s="1">
        <v>500000</v>
      </c>
      <c r="J7" s="1">
        <v>18</v>
      </c>
      <c r="K7" s="1" t="s">
        <v>28</v>
      </c>
      <c r="L7" s="1" t="s">
        <v>29</v>
      </c>
      <c r="M7" s="1">
        <v>220</v>
      </c>
      <c r="N7" s="1">
        <v>160</v>
      </c>
      <c r="O7" s="1">
        <v>8</v>
      </c>
      <c r="P7" s="7">
        <f t="shared" si="0"/>
        <v>0.72727272727272729</v>
      </c>
      <c r="Q7">
        <f t="shared" si="1"/>
        <v>300000</v>
      </c>
      <c r="R7" t="str">
        <f t="shared" si="2"/>
        <v>Within Budget</v>
      </c>
      <c r="S7" t="str">
        <f t="shared" si="3"/>
        <v>On Time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KOLLAPATTU GOPICHAND</dc:creator>
  <cp:lastModifiedBy>KOLLAPATTU GOPICHAND</cp:lastModifiedBy>
  <dcterms:created xsi:type="dcterms:W3CDTF">2026-07-06T15:23:17Z</dcterms:created>
  <dcterms:modified xsi:type="dcterms:W3CDTF">2026-07-06T15:37:59Z</dcterms:modified>
</cp:coreProperties>
</file>